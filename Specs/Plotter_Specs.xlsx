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inr\OneDrive\Documents\TU\Mechatronik-und-Instrumentierung\Specs\"/>
    </mc:Choice>
  </mc:AlternateContent>
  <xr:revisionPtr revIDLastSave="0" documentId="13_ncr:1_{1EB1DE00-44B1-4CB8-8CD5-8070E46BED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8" i="1" s="1"/>
  <c r="B11" i="1" s="1"/>
  <c r="B4" i="1"/>
  <c r="B12" i="1" l="1"/>
  <c r="B15" i="1" s="1"/>
  <c r="B14" i="1"/>
  <c r="B22" i="1" l="1"/>
  <c r="B27" i="1" s="1"/>
  <c r="B20" i="1"/>
  <c r="B25" i="1" s="1"/>
  <c r="B21" i="1"/>
  <c r="B26" i="1" s="1"/>
  <c r="B23" i="1"/>
  <c r="B28" i="1" s="1"/>
  <c r="B35" i="1" l="1"/>
  <c r="B34" i="1"/>
</calcChain>
</file>

<file path=xl/sharedStrings.xml><?xml version="1.0" encoding="utf-8"?>
<sst xmlns="http://schemas.openxmlformats.org/spreadsheetml/2006/main" count="63" uniqueCount="40">
  <si>
    <t>Max speed</t>
  </si>
  <si>
    <t>pps</t>
  </si>
  <si>
    <t>Pulses per s</t>
  </si>
  <si>
    <t>Step size</t>
  </si>
  <si>
    <t>°</t>
  </si>
  <si>
    <t>Gear ratio A</t>
  </si>
  <si>
    <t>Drive wheel-&gt;Mediant wheel</t>
  </si>
  <si>
    <t>Gear ratio B</t>
  </si>
  <si>
    <t>Mediant wheel-&gt;pulley</t>
  </si>
  <si>
    <t>Total ratio</t>
  </si>
  <si>
    <t>Pulley step size</t>
  </si>
  <si>
    <t>Pulley diameter</t>
  </si>
  <si>
    <t>mm</t>
  </si>
  <si>
    <t>Pen step size</t>
  </si>
  <si>
    <t>@ half step</t>
  </si>
  <si>
    <t>Max line speed</t>
  </si>
  <si>
    <t>mm/s</t>
  </si>
  <si>
    <t>Min accel. time</t>
  </si>
  <si>
    <t>s</t>
  </si>
  <si>
    <t>Min decel. time</t>
  </si>
  <si>
    <t>Max accel.</t>
  </si>
  <si>
    <t>mm/s^2</t>
  </si>
  <si>
    <t>Max decel.</t>
  </si>
  <si>
    <t>Accel. distance</t>
  </si>
  <si>
    <t>Decel. distance</t>
  </si>
  <si>
    <t>Segment angle limit</t>
  </si>
  <si>
    <t>Empirical value where overshoot becomes negligible</t>
  </si>
  <si>
    <t>Letter segments</t>
  </si>
  <si>
    <t>Letter length</t>
  </si>
  <si>
    <t>Letter time</t>
  </si>
  <si>
    <t>Test pattern A</t>
  </si>
  <si>
    <t>letter "A", long sides 2cm, short side 1cm</t>
  </si>
  <si>
    <t>To measure letter time: draw letter "A" 10 times and measure time</t>
  </si>
  <si>
    <t>Test pattern B</t>
  </si>
  <si>
    <t>Empirical value to avoid overshoot and gear slips</t>
  </si>
  <si>
    <t>24:34</t>
  </si>
  <si>
    <t>19:34</t>
  </si>
  <si>
    <t>house, 45° diagonals</t>
  </si>
  <si>
    <t>To measure repeatability: draw test pattern ten times, then measure half line width</t>
  </si>
  <si>
    <t>To measure accuracy: draw test pattern at home position and on the other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</si>
</sst>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46" fontId="1" fillId="2" borderId="0" xfId="0" quotePrefix="1" applyNumberFormat="1" applyFont="1" applyFill="1"/>
    <xf numFmtId="0" fontId="1" fillId="2" borderId="0" xfId="0" quotePrefix="1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204295</xdr:colOff>
      <xdr:row>2</xdr:row>
      <xdr:rowOff>122182</xdr:rowOff>
    </xdr:from>
    <xdr:to>
      <xdr:col>16</xdr:col>
      <xdr:colOff>81661</xdr:colOff>
      <xdr:row>8</xdr:row>
      <xdr:rowOff>17408</xdr:rowOff>
    </xdr:to>
    <xdr:grpSp>
      <xdr:nvGrpSpPr>
        <xdr:cNvPr id="9" name="Gruppieren 8">
          <a:extLst>
            <a:ext uri="{FF2B5EF4-FFF2-40B4-BE49-F238E27FC236}">
              <a16:creationId xmlns:a16="http://schemas.microsoft.com/office/drawing/2014/main" id="{34035D78-D475-6906-A501-B92D48BE4664}"/>
            </a:ext>
          </a:extLst>
        </xdr:cNvPr>
        <xdr:cNvGrpSpPr/>
      </xdr:nvGrpSpPr>
      <xdr:grpSpPr>
        <a:xfrm>
          <a:off x="13577395" y="457462"/>
          <a:ext cx="738426" cy="901066"/>
          <a:chOff x="13347809" y="638831"/>
          <a:chExt cx="718194" cy="1042496"/>
        </a:xfrm>
      </xdr:grpSpPr>
      <xdr:sp macro="" textlink="">
        <xdr:nvSpPr>
          <xdr:cNvPr id="2" name="Rechteck 1">
            <a:extLst>
              <a:ext uri="{FF2B5EF4-FFF2-40B4-BE49-F238E27FC236}">
                <a16:creationId xmlns:a16="http://schemas.microsoft.com/office/drawing/2014/main" id="{9571AF6C-7B75-6D22-0940-3F463FDA37BA}"/>
              </a:ext>
            </a:extLst>
          </xdr:cNvPr>
          <xdr:cNvSpPr/>
        </xdr:nvSpPr>
        <xdr:spPr>
          <a:xfrm>
            <a:off x="13347809" y="978776"/>
            <a:ext cx="717003" cy="702551"/>
          </a:xfrm>
          <a:prstGeom prst="rect">
            <a:avLst/>
          </a:prstGeom>
          <a:noFill/>
          <a:ln w="12700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3" name="Gleichschenkliges Dreieck 2">
            <a:extLst>
              <a:ext uri="{FF2B5EF4-FFF2-40B4-BE49-F238E27FC236}">
                <a16:creationId xmlns:a16="http://schemas.microsoft.com/office/drawing/2014/main" id="{914DFD40-8E4C-2B11-A989-94FDF0F48F06}"/>
              </a:ext>
            </a:extLst>
          </xdr:cNvPr>
          <xdr:cNvSpPr/>
        </xdr:nvSpPr>
        <xdr:spPr>
          <a:xfrm>
            <a:off x="13347809" y="638831"/>
            <a:ext cx="718194" cy="339944"/>
          </a:xfrm>
          <a:prstGeom prst="triangle">
            <a:avLst/>
          </a:prstGeom>
          <a:noFill/>
          <a:ln w="12700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FDBAAACF-2DC7-D88A-EE20-CAB8C506F5C4}"/>
              </a:ext>
            </a:extLst>
          </xdr:cNvPr>
          <xdr:cNvCxnSpPr>
            <a:stCxn id="3" idx="2"/>
          </xdr:cNvCxnSpPr>
        </xdr:nvCxnSpPr>
        <xdr:spPr>
          <a:xfrm>
            <a:off x="13347809" y="978775"/>
            <a:ext cx="718194" cy="69898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Gerader Verbinder 5">
            <a:extLst>
              <a:ext uri="{FF2B5EF4-FFF2-40B4-BE49-F238E27FC236}">
                <a16:creationId xmlns:a16="http://schemas.microsoft.com/office/drawing/2014/main" id="{2B6F7063-BE50-49DA-B021-3160B825F7D8}"/>
              </a:ext>
            </a:extLst>
          </xdr:cNvPr>
          <xdr:cNvCxnSpPr>
            <a:endCxn id="3" idx="4"/>
          </xdr:cNvCxnSpPr>
        </xdr:nvCxnSpPr>
        <xdr:spPr>
          <a:xfrm flipV="1">
            <a:off x="13356143" y="978775"/>
            <a:ext cx="709860" cy="698980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3"/>
  <sheetViews>
    <sheetView tabSelected="1" zoomScaleNormal="100" workbookViewId="0">
      <selection activeCell="I4" sqref="I4"/>
    </sheetView>
  </sheetViews>
  <sheetFormatPr baseColWidth="10" defaultColWidth="12.5546875" defaultRowHeight="15.75" customHeight="1" x14ac:dyDescent="0.25"/>
  <cols>
    <col min="1" max="1" width="20.6640625" customWidth="1"/>
    <col min="2" max="2" width="11.109375" customWidth="1"/>
  </cols>
  <sheetData>
    <row r="1" spans="1:16" ht="13.2" x14ac:dyDescent="0.25">
      <c r="A1" s="1" t="s">
        <v>0</v>
      </c>
      <c r="B1" s="2">
        <v>50</v>
      </c>
      <c r="C1" s="2" t="s">
        <v>1</v>
      </c>
      <c r="D1" s="1" t="s">
        <v>2</v>
      </c>
      <c r="H1" s="1" t="s">
        <v>32</v>
      </c>
      <c r="O1" t="s">
        <v>30</v>
      </c>
      <c r="P1" t="s">
        <v>31</v>
      </c>
    </row>
    <row r="2" spans="1:16" ht="13.2" x14ac:dyDescent="0.25">
      <c r="A2" s="1" t="s">
        <v>3</v>
      </c>
      <c r="B2" s="2">
        <v>7.5</v>
      </c>
      <c r="C2" s="2" t="s">
        <v>4</v>
      </c>
      <c r="H2" s="1" t="s">
        <v>38</v>
      </c>
      <c r="O2" t="s">
        <v>33</v>
      </c>
      <c r="P2" t="s">
        <v>37</v>
      </c>
    </row>
    <row r="3" spans="1:16" ht="13.2" x14ac:dyDescent="0.25">
      <c r="H3" s="1" t="s">
        <v>39</v>
      </c>
    </row>
    <row r="4" spans="1:16" ht="13.2" x14ac:dyDescent="0.25">
      <c r="A4" s="1" t="s">
        <v>5</v>
      </c>
      <c r="B4" s="2">
        <f>24/34</f>
        <v>0.70588235294117652</v>
      </c>
      <c r="C4" s="3" t="s">
        <v>35</v>
      </c>
      <c r="D4" s="1" t="s">
        <v>6</v>
      </c>
    </row>
    <row r="5" spans="1:16" ht="13.2" x14ac:dyDescent="0.25">
      <c r="A5" s="1" t="s">
        <v>7</v>
      </c>
      <c r="B5" s="2">
        <f>19/34</f>
        <v>0.55882352941176472</v>
      </c>
      <c r="C5" s="4" t="s">
        <v>36</v>
      </c>
      <c r="D5" s="1" t="s">
        <v>8</v>
      </c>
    </row>
    <row r="6" spans="1:16" ht="13.2" x14ac:dyDescent="0.25">
      <c r="A6" s="1" t="s">
        <v>9</v>
      </c>
      <c r="B6" s="1">
        <f>B4*B5</f>
        <v>0.39446366782006925</v>
      </c>
    </row>
    <row r="7" spans="1:16" ht="13.2" x14ac:dyDescent="0.25">
      <c r="A7" s="1"/>
    </row>
    <row r="8" spans="1:16" ht="13.2" x14ac:dyDescent="0.25">
      <c r="A8" s="1" t="s">
        <v>10</v>
      </c>
      <c r="B8" s="1">
        <f>B2*B6</f>
        <v>2.9584775086505193</v>
      </c>
      <c r="C8" s="1" t="s">
        <v>4</v>
      </c>
    </row>
    <row r="9" spans="1:16" ht="13.2" x14ac:dyDescent="0.25">
      <c r="A9" s="1" t="s">
        <v>11</v>
      </c>
      <c r="B9" s="2">
        <v>10</v>
      </c>
      <c r="C9" s="2" t="s">
        <v>12</v>
      </c>
    </row>
    <row r="11" spans="1:16" ht="13.2" x14ac:dyDescent="0.25">
      <c r="A11" s="1" t="s">
        <v>13</v>
      </c>
      <c r="B11" s="1">
        <f>B9*PI()*B8/360</f>
        <v>0.25817586686075294</v>
      </c>
      <c r="C11" s="1" t="s">
        <v>12</v>
      </c>
    </row>
    <row r="12" spans="1:16" ht="13.2" x14ac:dyDescent="0.25">
      <c r="A12" s="1" t="s">
        <v>14</v>
      </c>
      <c r="B12" s="1">
        <f>B11/2</f>
        <v>0.12908793343037647</v>
      </c>
      <c r="C12" s="1" t="s">
        <v>12</v>
      </c>
    </row>
    <row r="14" spans="1:16" ht="13.2" x14ac:dyDescent="0.25">
      <c r="A14" s="1" t="s">
        <v>15</v>
      </c>
      <c r="B14" s="1">
        <f>B1*B11</f>
        <v>12.908793343037647</v>
      </c>
      <c r="C14" s="1" t="s">
        <v>16</v>
      </c>
    </row>
    <row r="15" spans="1:16" ht="13.2" x14ac:dyDescent="0.25">
      <c r="A15" s="1" t="s">
        <v>14</v>
      </c>
      <c r="B15" s="1">
        <f>B12*B1</f>
        <v>6.4543966715188237</v>
      </c>
      <c r="C15" s="1" t="s">
        <v>16</v>
      </c>
    </row>
    <row r="17" spans="1:4" ht="13.2" x14ac:dyDescent="0.25">
      <c r="A17" s="1" t="s">
        <v>17</v>
      </c>
      <c r="B17" s="2">
        <v>0.1</v>
      </c>
      <c r="C17" s="2" t="s">
        <v>18</v>
      </c>
      <c r="D17" s="1" t="s">
        <v>34</v>
      </c>
    </row>
    <row r="18" spans="1:4" ht="13.2" x14ac:dyDescent="0.25">
      <c r="A18" s="1" t="s">
        <v>19</v>
      </c>
      <c r="B18" s="2">
        <v>0.1</v>
      </c>
      <c r="C18" s="2" t="s">
        <v>18</v>
      </c>
      <c r="D18" s="1" t="s">
        <v>34</v>
      </c>
    </row>
    <row r="20" spans="1:4" ht="13.2" x14ac:dyDescent="0.25">
      <c r="A20" s="1" t="s">
        <v>20</v>
      </c>
      <c r="B20" s="1">
        <f>B14/B17</f>
        <v>129.08793343037647</v>
      </c>
      <c r="C20" s="1" t="s">
        <v>21</v>
      </c>
    </row>
    <row r="21" spans="1:4" ht="13.2" x14ac:dyDescent="0.25">
      <c r="A21" s="1" t="s">
        <v>14</v>
      </c>
      <c r="B21" s="1">
        <f>B15/B17</f>
        <v>64.543966715188233</v>
      </c>
      <c r="C21" s="1" t="s">
        <v>21</v>
      </c>
    </row>
    <row r="22" spans="1:4" ht="13.2" x14ac:dyDescent="0.25">
      <c r="A22" s="1" t="s">
        <v>22</v>
      </c>
      <c r="B22" s="1">
        <f>B14/B18</f>
        <v>129.08793343037647</v>
      </c>
      <c r="C22" s="1" t="s">
        <v>21</v>
      </c>
    </row>
    <row r="23" spans="1:4" ht="13.2" x14ac:dyDescent="0.25">
      <c r="A23" s="1" t="s">
        <v>14</v>
      </c>
      <c r="B23" s="1">
        <f>B15/B18</f>
        <v>64.543966715188233</v>
      </c>
      <c r="C23" s="1" t="s">
        <v>21</v>
      </c>
    </row>
    <row r="25" spans="1:4" ht="13.2" x14ac:dyDescent="0.25">
      <c r="A25" s="1" t="s">
        <v>23</v>
      </c>
      <c r="B25" s="1">
        <f>B20*B17^2/2</f>
        <v>0.6454396671518825</v>
      </c>
      <c r="C25" s="1" t="s">
        <v>12</v>
      </c>
      <c r="D25" s="1"/>
    </row>
    <row r="26" spans="1:4" ht="13.2" x14ac:dyDescent="0.25">
      <c r="A26" s="1" t="s">
        <v>14</v>
      </c>
      <c r="B26" s="1">
        <f>B21/2*B17^2</f>
        <v>0.32271983357594125</v>
      </c>
      <c r="C26" s="1" t="s">
        <v>12</v>
      </c>
      <c r="D26" s="1"/>
    </row>
    <row r="27" spans="1:4" ht="13.2" x14ac:dyDescent="0.25">
      <c r="A27" s="1" t="s">
        <v>24</v>
      </c>
      <c r="B27" s="1">
        <f>B22*B18^2/2</f>
        <v>0.6454396671518825</v>
      </c>
      <c r="C27" s="1" t="s">
        <v>12</v>
      </c>
      <c r="D27" s="1"/>
    </row>
    <row r="28" spans="1:4" ht="13.2" x14ac:dyDescent="0.25">
      <c r="A28" s="1" t="s">
        <v>14</v>
      </c>
      <c r="B28" s="1">
        <f>B23/2*B18^2</f>
        <v>0.32271983357594125</v>
      </c>
      <c r="C28" s="1" t="s">
        <v>12</v>
      </c>
      <c r="D28" s="1"/>
    </row>
    <row r="29" spans="1:4" ht="13.2" x14ac:dyDescent="0.25">
      <c r="A29" s="1"/>
      <c r="B29" s="1"/>
      <c r="C29" s="1"/>
      <c r="D29" s="1"/>
    </row>
    <row r="30" spans="1:4" ht="13.2" x14ac:dyDescent="0.25">
      <c r="A30" s="1" t="s">
        <v>25</v>
      </c>
      <c r="B30" s="2">
        <v>100</v>
      </c>
      <c r="C30" s="2" t="s">
        <v>4</v>
      </c>
      <c r="D30" s="1" t="s">
        <v>26</v>
      </c>
    </row>
    <row r="32" spans="1:4" ht="13.2" x14ac:dyDescent="0.25">
      <c r="A32" s="1" t="s">
        <v>27</v>
      </c>
      <c r="B32" s="2">
        <v>3</v>
      </c>
      <c r="C32" s="5"/>
    </row>
    <row r="33" spans="1:3" ht="13.2" x14ac:dyDescent="0.25">
      <c r="A33" s="1" t="s">
        <v>28</v>
      </c>
      <c r="B33" s="2">
        <v>50</v>
      </c>
      <c r="C33" s="2" t="s">
        <v>12</v>
      </c>
    </row>
    <row r="34" spans="1:3" ht="13.2" x14ac:dyDescent="0.25">
      <c r="A34" s="1" t="s">
        <v>29</v>
      </c>
      <c r="B34" s="1">
        <f>(B33-B32*(B25+B27))/B14+B32*(B17+B18)</f>
        <v>4.1733287202995992</v>
      </c>
      <c r="C34" s="1" t="s">
        <v>18</v>
      </c>
    </row>
    <row r="35" spans="1:3" ht="13.2" x14ac:dyDescent="0.25">
      <c r="A35" s="1" t="s">
        <v>14</v>
      </c>
      <c r="B35" s="1">
        <f>(B33-B32*(B28+B26))/B15+B32*(B17+B18)</f>
        <v>8.0466574405991977</v>
      </c>
      <c r="C35" s="1" t="s">
        <v>18</v>
      </c>
    </row>
    <row r="37" spans="1:3" ht="13.2" x14ac:dyDescent="0.25"/>
    <row r="40" spans="1:3" ht="13.2" x14ac:dyDescent="0.25"/>
    <row r="43" spans="1:3" ht="13.2" x14ac:dyDescent="0.25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Heinrich Fuhrmann</cp:lastModifiedBy>
  <dcterms:modified xsi:type="dcterms:W3CDTF">2026-05-13T14:00:42Z</dcterms:modified>
</cp:coreProperties>
</file>