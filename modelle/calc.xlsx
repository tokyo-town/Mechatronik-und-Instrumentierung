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_TU\Bachelor Elektrotechnik und Informationstechnik\Mechatronik und Instrumentierung\modelle\"/>
    </mc:Choice>
  </mc:AlternateContent>
  <xr:revisionPtr revIDLastSave="0" documentId="13_ncr:1_{47CF43BA-740B-42A6-BA9F-A6B248BA7ADE}" xr6:coauthVersionLast="47" xr6:coauthVersionMax="47" xr10:uidLastSave="{00000000-0000-0000-0000-000000000000}"/>
  <bookViews>
    <workbookView xWindow="-120" yWindow="-120" windowWidth="29040" windowHeight="15840" xr2:uid="{91D3CBE4-807A-4057-826A-FD894EC2751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2" i="1" l="1"/>
  <c r="T33" i="1"/>
  <c r="T34" i="1"/>
  <c r="T35" i="1"/>
  <c r="T36" i="1"/>
  <c r="U36" i="1" s="1"/>
  <c r="T37" i="1"/>
  <c r="T38" i="1"/>
  <c r="T39" i="1"/>
  <c r="T40" i="1"/>
  <c r="T41" i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T49" i="1"/>
  <c r="T50" i="1"/>
  <c r="T51" i="1"/>
  <c r="T31" i="1"/>
  <c r="P35" i="1"/>
  <c r="U32" i="1"/>
  <c r="U33" i="1"/>
  <c r="U34" i="1"/>
  <c r="U35" i="1"/>
  <c r="U37" i="1"/>
  <c r="U38" i="1"/>
  <c r="U39" i="1"/>
  <c r="U40" i="1"/>
  <c r="U41" i="1"/>
  <c r="U48" i="1"/>
  <c r="U49" i="1"/>
  <c r="U50" i="1"/>
  <c r="U51" i="1"/>
  <c r="U31" i="1"/>
  <c r="V32" i="1"/>
  <c r="V33" i="1"/>
  <c r="V34" i="1"/>
  <c r="V35" i="1"/>
  <c r="V37" i="1"/>
  <c r="V38" i="1"/>
  <c r="V39" i="1"/>
  <c r="V40" i="1"/>
  <c r="V41" i="1"/>
  <c r="V42" i="1"/>
  <c r="V44" i="1"/>
  <c r="V47" i="1"/>
  <c r="V48" i="1"/>
  <c r="V49" i="1"/>
  <c r="V50" i="1"/>
  <c r="V51" i="1"/>
  <c r="V31" i="1"/>
  <c r="W33" i="1"/>
  <c r="T25" i="1"/>
  <c r="T24" i="1"/>
  <c r="B38" i="1"/>
  <c r="C38" i="1"/>
  <c r="B39" i="1"/>
  <c r="C39" i="1"/>
  <c r="B40" i="1"/>
  <c r="C40" i="1" s="1"/>
  <c r="B41" i="1"/>
  <c r="C41" i="1" s="1"/>
  <c r="B42" i="1"/>
  <c r="C42" i="1"/>
  <c r="B43" i="1"/>
  <c r="C43" i="1"/>
  <c r="B44" i="1"/>
  <c r="C44" i="1"/>
  <c r="B45" i="1"/>
  <c r="C45" i="1" s="1"/>
  <c r="B46" i="1"/>
  <c r="C46" i="1"/>
  <c r="B47" i="1"/>
  <c r="C47" i="1"/>
  <c r="B48" i="1"/>
  <c r="C48" i="1" s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 s="1"/>
  <c r="X13" i="1"/>
  <c r="X11" i="1"/>
  <c r="X14" i="1" s="1"/>
  <c r="T13" i="1"/>
  <c r="T11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10" i="1"/>
  <c r="G2" i="1"/>
  <c r="F2" i="1"/>
  <c r="D3" i="1"/>
  <c r="D4" i="1"/>
  <c r="D5" i="1"/>
  <c r="D2" i="1"/>
  <c r="V36" i="1" l="1"/>
  <c r="V46" i="1"/>
  <c r="V45" i="1"/>
  <c r="V43" i="1"/>
  <c r="T14" i="1"/>
  <c r="B11" i="1"/>
  <c r="B19" i="1"/>
  <c r="B17" i="1"/>
  <c r="B23" i="1"/>
  <c r="B35" i="1"/>
  <c r="B34" i="1"/>
  <c r="B18" i="1"/>
  <c r="B33" i="1"/>
  <c r="B32" i="1"/>
  <c r="B31" i="1"/>
  <c r="B29" i="1"/>
  <c r="B13" i="1"/>
  <c r="B28" i="1"/>
  <c r="B12" i="1"/>
  <c r="B37" i="1" l="1"/>
  <c r="B21" i="1"/>
  <c r="B26" i="1"/>
  <c r="B30" i="1"/>
  <c r="B15" i="1"/>
  <c r="B22" i="1"/>
  <c r="B20" i="1"/>
  <c r="B14" i="1"/>
  <c r="B27" i="1"/>
  <c r="B25" i="1"/>
  <c r="B24" i="1"/>
  <c r="B36" i="1"/>
  <c r="B16" i="1"/>
</calcChain>
</file>

<file path=xl/sharedStrings.xml><?xml version="1.0" encoding="utf-8"?>
<sst xmlns="http://schemas.openxmlformats.org/spreadsheetml/2006/main" count="23" uniqueCount="15">
  <si>
    <t>n</t>
  </si>
  <si>
    <t>D</t>
  </si>
  <si>
    <t>d</t>
  </si>
  <si>
    <t>w</t>
  </si>
  <si>
    <t>dw</t>
  </si>
  <si>
    <t>w0</t>
  </si>
  <si>
    <t>tot</t>
  </si>
  <si>
    <t>1a</t>
  </si>
  <si>
    <t>1b</t>
  </si>
  <si>
    <t>L motor</t>
  </si>
  <si>
    <t>R motor</t>
  </si>
  <si>
    <t>res</t>
  </si>
  <si>
    <t>mm</t>
  </si>
  <si>
    <t>GT2 pulley</t>
  </si>
  <si>
    <t>D_a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</si>
</sst>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Tabelle1!$B$2:$B$4</c:f>
              <c:numCache>
                <c:formatCode>General</c:formatCode>
                <c:ptCount val="3"/>
                <c:pt idx="0">
                  <c:v>35</c:v>
                </c:pt>
                <c:pt idx="1">
                  <c:v>17</c:v>
                </c:pt>
                <c:pt idx="2">
                  <c:v>28</c:v>
                </c:pt>
              </c:numCache>
            </c:numRef>
          </c:xVal>
          <c:yVal>
            <c:numRef>
              <c:f>Tabelle1!$D$2:$D$4</c:f>
              <c:numCache>
                <c:formatCode>General</c:formatCode>
                <c:ptCount val="3"/>
                <c:pt idx="0">
                  <c:v>1.2566370614359172</c:v>
                </c:pt>
                <c:pt idx="1">
                  <c:v>1.2011971910784505</c:v>
                </c:pt>
                <c:pt idx="2">
                  <c:v>1.2341971139102756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9-4BBF-B5FB-E8CF8156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468175"/>
        <c:axId val="1867460495"/>
      </c:scatterChart>
      <c:valAx>
        <c:axId val="18674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7460495"/>
        <c:crosses val="autoZero"/>
        <c:crossBetween val="midCat"/>
      </c:valAx>
      <c:valAx>
        <c:axId val="18674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7468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5</xdr:row>
      <xdr:rowOff>138112</xdr:rowOff>
    </xdr:from>
    <xdr:to>
      <xdr:col>13</xdr:col>
      <xdr:colOff>419100</xdr:colOff>
      <xdr:row>20</xdr:row>
      <xdr:rowOff>23812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B0C75A4-162E-DFBE-30C9-F54F9D5B0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0755-6230-438F-8B30-51FA4609F95F}">
  <dimension ref="A1:X56"/>
  <sheetViews>
    <sheetView tabSelected="1" workbookViewId="0">
      <selection activeCell="F34" sqref="F34"/>
    </sheetView>
  </sheetViews>
  <sheetFormatPr baseColWidth="10" defaultRowHeight="15" x14ac:dyDescent="0.25"/>
  <sheetData>
    <row r="1" spans="1:24" x14ac:dyDescent="0.25">
      <c r="A1" t="s">
        <v>1</v>
      </c>
      <c r="B1" t="s">
        <v>0</v>
      </c>
      <c r="D1" t="s">
        <v>2</v>
      </c>
      <c r="F1" t="s">
        <v>4</v>
      </c>
      <c r="G1" t="s">
        <v>5</v>
      </c>
    </row>
    <row r="2" spans="1:24" x14ac:dyDescent="0.25">
      <c r="A2">
        <v>30</v>
      </c>
      <c r="B2">
        <v>35</v>
      </c>
      <c r="D2">
        <f>(A2-2)*PI()/B2/2</f>
        <v>1.2566370614359172</v>
      </c>
      <c r="F2">
        <f>(D2-D3)/(B2-B3)</f>
        <v>3.0799927976370434E-3</v>
      </c>
      <c r="G2">
        <f>D3-B3*F2</f>
        <v>1.1488373135186207</v>
      </c>
    </row>
    <row r="3" spans="1:24" x14ac:dyDescent="0.25">
      <c r="A3">
        <v>15</v>
      </c>
      <c r="B3">
        <v>17</v>
      </c>
      <c r="D3">
        <f t="shared" ref="D3:D5" si="0">(A3-2)*PI()/B3/2</f>
        <v>1.2011971910784505</v>
      </c>
    </row>
    <row r="4" spans="1:24" x14ac:dyDescent="0.25">
      <c r="A4">
        <v>24</v>
      </c>
      <c r="B4">
        <v>28</v>
      </c>
      <c r="D4">
        <f t="shared" si="0"/>
        <v>1.2341971139102756</v>
      </c>
    </row>
    <row r="5" spans="1:24" x14ac:dyDescent="0.25">
      <c r="A5">
        <v>15</v>
      </c>
      <c r="B5">
        <v>17</v>
      </c>
      <c r="D5">
        <f t="shared" si="0"/>
        <v>1.2011971910784505</v>
      </c>
    </row>
    <row r="7" spans="1:24" x14ac:dyDescent="0.25">
      <c r="S7" t="s">
        <v>9</v>
      </c>
      <c r="W7" t="s">
        <v>10</v>
      </c>
    </row>
    <row r="9" spans="1:24" x14ac:dyDescent="0.25">
      <c r="A9" t="s">
        <v>0</v>
      </c>
      <c r="B9" t="s">
        <v>3</v>
      </c>
      <c r="C9" t="s">
        <v>1</v>
      </c>
    </row>
    <row r="10" spans="1:24" x14ac:dyDescent="0.25">
      <c r="A10">
        <v>8</v>
      </c>
      <c r="B10">
        <v>1.1850000000000001</v>
      </c>
      <c r="C10">
        <f>B10*2*A10/PI()+2</f>
        <v>8.0351554420446725</v>
      </c>
      <c r="R10">
        <v>0</v>
      </c>
      <c r="S10">
        <v>24</v>
      </c>
      <c r="V10">
        <v>0</v>
      </c>
      <c r="W10">
        <v>24</v>
      </c>
    </row>
    <row r="11" spans="1:24" x14ac:dyDescent="0.25">
      <c r="A11">
        <v>9</v>
      </c>
      <c r="B11">
        <f t="shared" ref="B11:B56" si="1">A11*$F$2+$G$2</f>
        <v>1.1765572486973541</v>
      </c>
      <c r="C11">
        <f t="shared" ref="C11:C37" si="2">B11*2*A11/PI()+2</f>
        <v>8.7411764705882362</v>
      </c>
      <c r="R11" t="s">
        <v>7</v>
      </c>
      <c r="S11">
        <v>34</v>
      </c>
      <c r="T11">
        <f>S11/S10</f>
        <v>1.4166666666666667</v>
      </c>
      <c r="V11" t="s">
        <v>7</v>
      </c>
      <c r="W11">
        <v>34</v>
      </c>
      <c r="X11">
        <f>W11/W10</f>
        <v>1.4166666666666667</v>
      </c>
    </row>
    <row r="12" spans="1:24" x14ac:dyDescent="0.25">
      <c r="A12">
        <v>10</v>
      </c>
      <c r="B12">
        <f t="shared" si="1"/>
        <v>1.1796372414949912</v>
      </c>
      <c r="C12">
        <f t="shared" si="2"/>
        <v>9.5098039215686292</v>
      </c>
      <c r="R12" t="s">
        <v>8</v>
      </c>
      <c r="S12">
        <v>19</v>
      </c>
      <c r="V12" t="s">
        <v>8</v>
      </c>
      <c r="W12">
        <v>19</v>
      </c>
    </row>
    <row r="13" spans="1:24" x14ac:dyDescent="0.25">
      <c r="A13">
        <v>11</v>
      </c>
      <c r="B13">
        <f t="shared" si="1"/>
        <v>1.1827172342926282</v>
      </c>
      <c r="C13">
        <f t="shared" si="2"/>
        <v>10.282352941176471</v>
      </c>
      <c r="R13">
        <v>2</v>
      </c>
      <c r="S13">
        <v>34</v>
      </c>
      <c r="T13">
        <f>S13/S12</f>
        <v>1.7894736842105263</v>
      </c>
      <c r="V13">
        <v>2</v>
      </c>
      <c r="W13">
        <v>34</v>
      </c>
      <c r="X13">
        <f>W13/W12</f>
        <v>1.7894736842105263</v>
      </c>
    </row>
    <row r="14" spans="1:24" x14ac:dyDescent="0.25">
      <c r="A14">
        <v>12</v>
      </c>
      <c r="B14">
        <f t="shared" si="1"/>
        <v>1.1857972270902652</v>
      </c>
      <c r="C14">
        <f t="shared" si="2"/>
        <v>11.058823529411766</v>
      </c>
      <c r="R14" t="s">
        <v>6</v>
      </c>
      <c r="T14">
        <f>T13*T11</f>
        <v>2.5350877192982457</v>
      </c>
      <c r="V14" t="s">
        <v>6</v>
      </c>
      <c r="X14">
        <f>X13*X11</f>
        <v>2.5350877192982457</v>
      </c>
    </row>
    <row r="15" spans="1:24" x14ac:dyDescent="0.25">
      <c r="A15">
        <v>13</v>
      </c>
      <c r="B15">
        <f t="shared" si="1"/>
        <v>1.1888772198879023</v>
      </c>
      <c r="C15">
        <f t="shared" si="2"/>
        <v>11.839215686274512</v>
      </c>
    </row>
    <row r="16" spans="1:24" x14ac:dyDescent="0.25">
      <c r="A16">
        <v>14</v>
      </c>
      <c r="B16">
        <f t="shared" si="1"/>
        <v>1.1919572126855393</v>
      </c>
      <c r="C16">
        <f t="shared" si="2"/>
        <v>12.623529411764707</v>
      </c>
    </row>
    <row r="17" spans="1:22" x14ac:dyDescent="0.25">
      <c r="A17">
        <v>15</v>
      </c>
      <c r="B17">
        <f t="shared" si="1"/>
        <v>1.1950372054831764</v>
      </c>
      <c r="C17">
        <f t="shared" si="2"/>
        <v>13.411764705882355</v>
      </c>
    </row>
    <row r="18" spans="1:22" x14ac:dyDescent="0.25">
      <c r="A18">
        <v>16</v>
      </c>
      <c r="B18">
        <f t="shared" si="1"/>
        <v>1.1981171982808134</v>
      </c>
      <c r="C18">
        <f t="shared" si="2"/>
        <v>14.203921568627452</v>
      </c>
    </row>
    <row r="19" spans="1:22" x14ac:dyDescent="0.25">
      <c r="A19">
        <v>17</v>
      </c>
      <c r="B19">
        <f t="shared" si="1"/>
        <v>1.2011971910784505</v>
      </c>
      <c r="C19">
        <f t="shared" si="2"/>
        <v>15.000000000000002</v>
      </c>
    </row>
    <row r="20" spans="1:22" x14ac:dyDescent="0.25">
      <c r="A20">
        <v>18</v>
      </c>
      <c r="B20">
        <f t="shared" si="1"/>
        <v>1.2042771838760875</v>
      </c>
      <c r="C20">
        <f t="shared" si="2"/>
        <v>15.8</v>
      </c>
    </row>
    <row r="21" spans="1:22" x14ac:dyDescent="0.25">
      <c r="A21">
        <v>19</v>
      </c>
      <c r="B21">
        <f t="shared" si="1"/>
        <v>1.2073571766737246</v>
      </c>
      <c r="C21">
        <f t="shared" si="2"/>
        <v>16.603921568627452</v>
      </c>
    </row>
    <row r="22" spans="1:22" x14ac:dyDescent="0.25">
      <c r="A22">
        <v>20</v>
      </c>
      <c r="B22">
        <f t="shared" si="1"/>
        <v>1.2104371694713616</v>
      </c>
      <c r="C22">
        <f t="shared" si="2"/>
        <v>17.411764705882355</v>
      </c>
    </row>
    <row r="23" spans="1:22" x14ac:dyDescent="0.25">
      <c r="A23">
        <v>21</v>
      </c>
      <c r="B23">
        <f t="shared" si="1"/>
        <v>1.2135171622689986</v>
      </c>
      <c r="C23">
        <f t="shared" si="2"/>
        <v>18.223529411764709</v>
      </c>
    </row>
    <row r="24" spans="1:22" x14ac:dyDescent="0.25">
      <c r="A24">
        <v>22</v>
      </c>
      <c r="B24">
        <f t="shared" si="1"/>
        <v>1.2165971550666357</v>
      </c>
      <c r="C24">
        <f t="shared" si="2"/>
        <v>19.039215686274513</v>
      </c>
      <c r="T24">
        <f>47/24</f>
        <v>1.9583333333333333</v>
      </c>
    </row>
    <row r="25" spans="1:22" x14ac:dyDescent="0.25">
      <c r="A25">
        <v>23</v>
      </c>
      <c r="B25">
        <f t="shared" si="1"/>
        <v>1.2196771478642727</v>
      </c>
      <c r="C25">
        <f t="shared" si="2"/>
        <v>19.858823529411765</v>
      </c>
      <c r="S25" t="s">
        <v>11</v>
      </c>
      <c r="T25">
        <f>10*PI()*7.5/360/T24</f>
        <v>0.33421198442444611</v>
      </c>
      <c r="U25" t="s">
        <v>12</v>
      </c>
    </row>
    <row r="26" spans="1:22" x14ac:dyDescent="0.25">
      <c r="A26">
        <v>24</v>
      </c>
      <c r="B26">
        <f t="shared" si="1"/>
        <v>1.2227571406619098</v>
      </c>
      <c r="C26">
        <f t="shared" si="2"/>
        <v>20.682352941176472</v>
      </c>
    </row>
    <row r="27" spans="1:22" x14ac:dyDescent="0.25">
      <c r="A27">
        <v>25</v>
      </c>
      <c r="B27">
        <f t="shared" si="1"/>
        <v>1.2258371334595468</v>
      </c>
      <c r="C27">
        <f t="shared" si="2"/>
        <v>21.509803921568629</v>
      </c>
    </row>
    <row r="28" spans="1:22" x14ac:dyDescent="0.25">
      <c r="A28">
        <v>26</v>
      </c>
      <c r="B28">
        <f t="shared" si="1"/>
        <v>1.2289171262571839</v>
      </c>
      <c r="C28">
        <f t="shared" si="2"/>
        <v>22.341176470588238</v>
      </c>
    </row>
    <row r="29" spans="1:22" x14ac:dyDescent="0.25">
      <c r="A29">
        <v>27</v>
      </c>
      <c r="B29">
        <f t="shared" si="1"/>
        <v>1.2319971190548209</v>
      </c>
      <c r="C29">
        <f t="shared" si="2"/>
        <v>23.176470588235293</v>
      </c>
      <c r="R29" t="s">
        <v>13</v>
      </c>
    </row>
    <row r="30" spans="1:22" x14ac:dyDescent="0.25">
      <c r="A30">
        <v>28</v>
      </c>
      <c r="B30">
        <f t="shared" si="1"/>
        <v>1.2350771118524579</v>
      </c>
      <c r="C30">
        <f t="shared" si="2"/>
        <v>24.015686274509804</v>
      </c>
      <c r="S30" t="s">
        <v>0</v>
      </c>
      <c r="T30" t="s">
        <v>3</v>
      </c>
      <c r="U30" t="s">
        <v>2</v>
      </c>
      <c r="V30" t="s">
        <v>14</v>
      </c>
    </row>
    <row r="31" spans="1:22" x14ac:dyDescent="0.25">
      <c r="A31">
        <v>29</v>
      </c>
      <c r="B31">
        <f t="shared" si="1"/>
        <v>1.238157104650095</v>
      </c>
      <c r="C31">
        <f t="shared" si="2"/>
        <v>24.858823529411765</v>
      </c>
      <c r="S31">
        <v>10</v>
      </c>
      <c r="T31">
        <f>1-1.25*PI()/(2*S31)</f>
        <v>0.80365045915063793</v>
      </c>
      <c r="U31">
        <f>S31*2*T31/PI()+1</f>
        <v>6.1161977236758132</v>
      </c>
      <c r="V31">
        <f t="shared" ref="V31:V51" si="3">S31*2*T31/PI()+2*1</f>
        <v>7.1161977236758132</v>
      </c>
    </row>
    <row r="32" spans="1:22" x14ac:dyDescent="0.25">
      <c r="A32">
        <v>30</v>
      </c>
      <c r="B32">
        <f t="shared" si="1"/>
        <v>1.241237097447732</v>
      </c>
      <c r="C32">
        <f t="shared" si="2"/>
        <v>25.705882352941174</v>
      </c>
      <c r="S32">
        <v>11</v>
      </c>
      <c r="T32">
        <f t="shared" ref="T32:T51" si="4">1-1.25*PI()/(2*S32)</f>
        <v>0.82150041740967084</v>
      </c>
      <c r="U32">
        <f t="shared" ref="U32:U51" si="5">S32*2*T32/PI()+1</f>
        <v>6.7528174960433951</v>
      </c>
      <c r="V32">
        <f t="shared" si="3"/>
        <v>7.7528174960433951</v>
      </c>
    </row>
    <row r="33" spans="1:23" x14ac:dyDescent="0.25">
      <c r="A33">
        <v>31</v>
      </c>
      <c r="B33">
        <f t="shared" si="1"/>
        <v>1.2443170902453691</v>
      </c>
      <c r="C33">
        <f t="shared" si="2"/>
        <v>26.556862745098041</v>
      </c>
      <c r="S33">
        <v>12</v>
      </c>
      <c r="T33">
        <f t="shared" si="4"/>
        <v>0.83637538262553157</v>
      </c>
      <c r="U33">
        <f t="shared" si="5"/>
        <v>7.3894372684109761</v>
      </c>
      <c r="V33">
        <f t="shared" si="3"/>
        <v>8.3894372684109761</v>
      </c>
      <c r="W33">
        <f>7.553+0.75</f>
        <v>8.3030000000000008</v>
      </c>
    </row>
    <row r="34" spans="1:23" x14ac:dyDescent="0.25">
      <c r="A34">
        <v>32</v>
      </c>
      <c r="B34">
        <f t="shared" si="1"/>
        <v>1.2473970830430061</v>
      </c>
      <c r="C34">
        <f t="shared" si="2"/>
        <v>27.411764705882355</v>
      </c>
      <c r="S34">
        <v>13</v>
      </c>
      <c r="T34">
        <f t="shared" si="4"/>
        <v>0.84896189165433689</v>
      </c>
      <c r="U34">
        <f t="shared" si="5"/>
        <v>8.0260570407785572</v>
      </c>
      <c r="V34">
        <f t="shared" si="3"/>
        <v>9.0260570407785572</v>
      </c>
    </row>
    <row r="35" spans="1:23" x14ac:dyDescent="0.25">
      <c r="A35">
        <v>33</v>
      </c>
      <c r="B35">
        <f t="shared" si="1"/>
        <v>1.2504770758406432</v>
      </c>
      <c r="C35">
        <f t="shared" si="2"/>
        <v>28.270588235294117</v>
      </c>
      <c r="P35">
        <f>1.38-0.75</f>
        <v>0.62999999999999989</v>
      </c>
      <c r="S35">
        <v>14</v>
      </c>
      <c r="T35">
        <f t="shared" si="4"/>
        <v>0.85975032796474138</v>
      </c>
      <c r="U35">
        <f t="shared" si="5"/>
        <v>8.6626768131461382</v>
      </c>
      <c r="V35">
        <f t="shared" si="3"/>
        <v>9.6626768131461382</v>
      </c>
    </row>
    <row r="36" spans="1:23" x14ac:dyDescent="0.25">
      <c r="A36">
        <v>34</v>
      </c>
      <c r="B36">
        <f t="shared" si="1"/>
        <v>1.2535570686382802</v>
      </c>
      <c r="C36">
        <f t="shared" si="2"/>
        <v>29.133333333333333</v>
      </c>
      <c r="S36">
        <v>15</v>
      </c>
      <c r="T36">
        <f t="shared" si="4"/>
        <v>0.86910030610042532</v>
      </c>
      <c r="U36">
        <f t="shared" si="5"/>
        <v>9.2992965855137211</v>
      </c>
      <c r="V36">
        <f t="shared" si="3"/>
        <v>10.299296585513721</v>
      </c>
    </row>
    <row r="37" spans="1:23" x14ac:dyDescent="0.25">
      <c r="A37">
        <v>35</v>
      </c>
      <c r="B37">
        <f t="shared" si="1"/>
        <v>1.2566370614359172</v>
      </c>
      <c r="C37">
        <f t="shared" si="2"/>
        <v>30</v>
      </c>
      <c r="S37">
        <v>16</v>
      </c>
      <c r="T37">
        <f t="shared" si="4"/>
        <v>0.87728153696914868</v>
      </c>
      <c r="U37">
        <f t="shared" si="5"/>
        <v>9.9359163578813021</v>
      </c>
      <c r="V37">
        <f t="shared" si="3"/>
        <v>10.935916357881302</v>
      </c>
    </row>
    <row r="38" spans="1:23" x14ac:dyDescent="0.25">
      <c r="A38">
        <v>36</v>
      </c>
      <c r="B38">
        <f t="shared" si="1"/>
        <v>1.2597170542335543</v>
      </c>
      <c r="C38">
        <f t="shared" ref="C38:C56" si="6">B38*2*A38/PI()+2</f>
        <v>30.870588235294118</v>
      </c>
      <c r="S38">
        <v>17</v>
      </c>
      <c r="T38">
        <f t="shared" si="4"/>
        <v>0.88450027008861054</v>
      </c>
      <c r="U38">
        <f t="shared" si="5"/>
        <v>10.572536130248883</v>
      </c>
      <c r="V38">
        <f t="shared" si="3"/>
        <v>11.572536130248883</v>
      </c>
    </row>
    <row r="39" spans="1:23" x14ac:dyDescent="0.25">
      <c r="A39">
        <v>37</v>
      </c>
      <c r="B39">
        <f t="shared" si="1"/>
        <v>1.2627970470311913</v>
      </c>
      <c r="C39">
        <f t="shared" si="6"/>
        <v>31.745098039215684</v>
      </c>
      <c r="S39">
        <v>18</v>
      </c>
      <c r="T39">
        <f t="shared" si="4"/>
        <v>0.89091692175035442</v>
      </c>
      <c r="U39">
        <f t="shared" si="5"/>
        <v>11.209155902616464</v>
      </c>
      <c r="V39">
        <f t="shared" si="3"/>
        <v>12.209155902616464</v>
      </c>
    </row>
    <row r="40" spans="1:23" x14ac:dyDescent="0.25">
      <c r="A40">
        <v>38</v>
      </c>
      <c r="B40">
        <f t="shared" si="1"/>
        <v>1.2658770398288284</v>
      </c>
      <c r="C40">
        <f t="shared" si="6"/>
        <v>32.623529411764707</v>
      </c>
      <c r="S40">
        <v>19</v>
      </c>
      <c r="T40">
        <f t="shared" si="4"/>
        <v>0.89665813639507264</v>
      </c>
      <c r="U40">
        <f t="shared" si="5"/>
        <v>11.845775674984045</v>
      </c>
      <c r="V40">
        <f t="shared" si="3"/>
        <v>12.845775674984045</v>
      </c>
    </row>
    <row r="41" spans="1:23" x14ac:dyDescent="0.25">
      <c r="A41">
        <v>39</v>
      </c>
      <c r="B41">
        <f t="shared" si="1"/>
        <v>1.2689570326264654</v>
      </c>
      <c r="C41">
        <f t="shared" si="6"/>
        <v>33.505882352941171</v>
      </c>
      <c r="S41">
        <v>20</v>
      </c>
      <c r="T41">
        <f t="shared" si="4"/>
        <v>0.90182522957531897</v>
      </c>
      <c r="U41">
        <f t="shared" si="5"/>
        <v>12.482395447351626</v>
      </c>
      <c r="V41">
        <f t="shared" si="3"/>
        <v>13.482395447351626</v>
      </c>
    </row>
    <row r="42" spans="1:23" x14ac:dyDescent="0.25">
      <c r="A42">
        <v>40</v>
      </c>
      <c r="B42">
        <f t="shared" si="1"/>
        <v>1.2720370254241025</v>
      </c>
      <c r="C42">
        <f t="shared" si="6"/>
        <v>34.392156862745097</v>
      </c>
      <c r="S42">
        <v>21</v>
      </c>
      <c r="T42">
        <f t="shared" si="4"/>
        <v>0.90650021864316088</v>
      </c>
      <c r="U42">
        <f t="shared" si="5"/>
        <v>13.119015219719209</v>
      </c>
      <c r="V42">
        <f t="shared" si="3"/>
        <v>14.119015219719209</v>
      </c>
    </row>
    <row r="43" spans="1:23" x14ac:dyDescent="0.25">
      <c r="A43">
        <v>41</v>
      </c>
      <c r="B43">
        <f t="shared" si="1"/>
        <v>1.2751170182217395</v>
      </c>
      <c r="C43">
        <f t="shared" si="6"/>
        <v>35.28235294117647</v>
      </c>
      <c r="S43">
        <v>22</v>
      </c>
      <c r="T43">
        <f t="shared" si="4"/>
        <v>0.91075020870483536</v>
      </c>
      <c r="U43">
        <f t="shared" si="5"/>
        <v>13.75563499208679</v>
      </c>
      <c r="V43">
        <f t="shared" si="3"/>
        <v>14.75563499208679</v>
      </c>
    </row>
    <row r="44" spans="1:23" x14ac:dyDescent="0.25">
      <c r="A44">
        <v>42</v>
      </c>
      <c r="B44">
        <f t="shared" si="1"/>
        <v>1.2781970110193765</v>
      </c>
      <c r="C44">
        <f t="shared" si="6"/>
        <v>36.176470588235297</v>
      </c>
      <c r="S44">
        <v>23</v>
      </c>
      <c r="T44">
        <f t="shared" si="4"/>
        <v>0.91463063441332082</v>
      </c>
      <c r="U44">
        <f t="shared" si="5"/>
        <v>14.392254764454371</v>
      </c>
      <c r="V44">
        <f t="shared" si="3"/>
        <v>15.392254764454371</v>
      </c>
    </row>
    <row r="45" spans="1:23" x14ac:dyDescent="0.25">
      <c r="A45">
        <v>43</v>
      </c>
      <c r="B45">
        <f t="shared" si="1"/>
        <v>1.2812770038170136</v>
      </c>
      <c r="C45">
        <f t="shared" si="6"/>
        <v>37.074509803921572</v>
      </c>
      <c r="S45">
        <v>24</v>
      </c>
      <c r="T45">
        <f t="shared" si="4"/>
        <v>0.91818769131276579</v>
      </c>
      <c r="U45">
        <f t="shared" si="5"/>
        <v>15.028874536821952</v>
      </c>
      <c r="V45">
        <f t="shared" si="3"/>
        <v>16.028874536821952</v>
      </c>
    </row>
    <row r="46" spans="1:23" x14ac:dyDescent="0.25">
      <c r="A46">
        <v>44</v>
      </c>
      <c r="B46">
        <f t="shared" si="1"/>
        <v>1.2843569966146506</v>
      </c>
      <c r="C46">
        <f t="shared" si="6"/>
        <v>37.976470588235294</v>
      </c>
      <c r="S46">
        <v>25</v>
      </c>
      <c r="T46">
        <f t="shared" si="4"/>
        <v>0.92146018366025517</v>
      </c>
      <c r="U46">
        <f t="shared" si="5"/>
        <v>15.665494309189533</v>
      </c>
      <c r="V46">
        <f t="shared" si="3"/>
        <v>16.665494309189533</v>
      </c>
    </row>
    <row r="47" spans="1:23" x14ac:dyDescent="0.25">
      <c r="A47">
        <v>45</v>
      </c>
      <c r="B47">
        <f t="shared" si="1"/>
        <v>1.2874369894122877</v>
      </c>
      <c r="C47">
        <f t="shared" si="6"/>
        <v>38.882352941176471</v>
      </c>
      <c r="S47">
        <v>26</v>
      </c>
      <c r="T47">
        <f t="shared" si="4"/>
        <v>0.92448094582716844</v>
      </c>
      <c r="U47">
        <f t="shared" si="5"/>
        <v>16.302114081557114</v>
      </c>
      <c r="V47">
        <f t="shared" si="3"/>
        <v>17.302114081557114</v>
      </c>
    </row>
    <row r="48" spans="1:23" x14ac:dyDescent="0.25">
      <c r="A48">
        <v>46</v>
      </c>
      <c r="B48">
        <f t="shared" si="1"/>
        <v>1.2905169822099247</v>
      </c>
      <c r="C48">
        <f t="shared" si="6"/>
        <v>39.792156862745095</v>
      </c>
      <c r="S48">
        <v>27</v>
      </c>
      <c r="T48">
        <f t="shared" si="4"/>
        <v>0.92727794783356965</v>
      </c>
      <c r="U48">
        <f t="shared" si="5"/>
        <v>16.938733853924695</v>
      </c>
      <c r="V48">
        <f t="shared" si="3"/>
        <v>17.938733853924695</v>
      </c>
    </row>
    <row r="49" spans="1:22" x14ac:dyDescent="0.25">
      <c r="A49">
        <v>47</v>
      </c>
      <c r="B49">
        <f t="shared" si="1"/>
        <v>1.2935969750075618</v>
      </c>
      <c r="C49">
        <f t="shared" si="6"/>
        <v>40.705882352941174</v>
      </c>
      <c r="S49">
        <v>28</v>
      </c>
      <c r="T49">
        <f t="shared" si="4"/>
        <v>0.92987516398237069</v>
      </c>
      <c r="U49">
        <f t="shared" si="5"/>
        <v>17.575353626292276</v>
      </c>
      <c r="V49">
        <f t="shared" si="3"/>
        <v>18.575353626292276</v>
      </c>
    </row>
    <row r="50" spans="1:22" x14ac:dyDescent="0.25">
      <c r="A50">
        <v>48</v>
      </c>
      <c r="B50">
        <f t="shared" si="1"/>
        <v>1.2966769678051988</v>
      </c>
      <c r="C50">
        <f t="shared" si="6"/>
        <v>41.6235294117647</v>
      </c>
      <c r="S50">
        <v>29</v>
      </c>
      <c r="T50">
        <f t="shared" si="4"/>
        <v>0.93229326177608207</v>
      </c>
      <c r="U50">
        <f t="shared" si="5"/>
        <v>18.211973398659861</v>
      </c>
      <c r="V50">
        <f t="shared" si="3"/>
        <v>19.211973398659861</v>
      </c>
    </row>
    <row r="51" spans="1:22" x14ac:dyDescent="0.25">
      <c r="A51">
        <v>49</v>
      </c>
      <c r="B51">
        <f t="shared" si="1"/>
        <v>1.2997569606028359</v>
      </c>
      <c r="C51">
        <f t="shared" si="6"/>
        <v>42.545098039215681</v>
      </c>
      <c r="S51">
        <v>30</v>
      </c>
      <c r="T51">
        <f t="shared" si="4"/>
        <v>0.93455015305021261</v>
      </c>
      <c r="U51">
        <f t="shared" si="5"/>
        <v>18.848593171027442</v>
      </c>
      <c r="V51">
        <f t="shared" si="3"/>
        <v>19.848593171027442</v>
      </c>
    </row>
    <row r="52" spans="1:22" x14ac:dyDescent="0.25">
      <c r="A52">
        <v>50</v>
      </c>
      <c r="B52">
        <f t="shared" si="1"/>
        <v>1.3028369534004729</v>
      </c>
      <c r="C52">
        <f t="shared" si="6"/>
        <v>43.470588235294116</v>
      </c>
    </row>
    <row r="53" spans="1:22" x14ac:dyDescent="0.25">
      <c r="A53">
        <v>51</v>
      </c>
      <c r="B53">
        <f t="shared" si="1"/>
        <v>1.3059169461981099</v>
      </c>
      <c r="C53">
        <f t="shared" si="6"/>
        <v>44.4</v>
      </c>
    </row>
    <row r="54" spans="1:22" x14ac:dyDescent="0.25">
      <c r="A54">
        <v>52</v>
      </c>
      <c r="B54">
        <f t="shared" si="1"/>
        <v>1.308996938995747</v>
      </c>
      <c r="C54">
        <f t="shared" si="6"/>
        <v>45.333333333333321</v>
      </c>
    </row>
    <row r="55" spans="1:22" x14ac:dyDescent="0.25">
      <c r="A55">
        <v>53</v>
      </c>
      <c r="B55">
        <f t="shared" si="1"/>
        <v>1.312076931793384</v>
      </c>
      <c r="C55">
        <f t="shared" si="6"/>
        <v>46.270588235294113</v>
      </c>
    </row>
    <row r="56" spans="1:22" x14ac:dyDescent="0.25">
      <c r="A56">
        <v>54</v>
      </c>
      <c r="B56">
        <f t="shared" si="1"/>
        <v>1.3151569245910211</v>
      </c>
      <c r="C56">
        <f t="shared" si="6"/>
        <v>47.211764705882345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cagyos@sts2.onmicrosoft.com</dc:creator>
  <cp:lastModifiedBy>cagyos@sts2.onmicrosoft.com</cp:lastModifiedBy>
  <dcterms:created xsi:type="dcterms:W3CDTF">2026-05-05T09:11:17Z</dcterms:created>
  <dcterms:modified xsi:type="dcterms:W3CDTF">2026-06-04T22:57:02Z</dcterms:modified>
</cp:coreProperties>
</file>